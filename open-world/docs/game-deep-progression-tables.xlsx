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器盘-乘区" sheetId="1" state="visible" r:id="rId1"/>
    <sheet name="武器盘-突破" sheetId="2" state="visible" r:id="rId2"/>
    <sheet name="武器盘-品质" sheetId="3" state="visible" r:id="rId3"/>
    <sheet name="威能系统" sheetId="4" state="visible" r:id="rId4"/>
    <sheet name="天赋树" sheetId="5" state="visible" r:id="rId5"/>
    <sheet name="召唤石" sheetId="6" state="visible" r:id="rId6"/>
    <sheet name="声望系统" sheetId="7" state="visible" r:id="rId7"/>
    <sheet name="角色突破觉醒" sheetId="8" state="visible" r:id="rId8"/>
    <sheet name="高难副本掉落" sheetId="9" state="visible" r:id="rId9"/>
    <sheet name="终局乘区总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color rgb="000000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武器盘系统 — 乘区与武器技能数值</t>
        </is>
      </c>
    </row>
    <row r="2">
      <c r="A2" s="2" t="inlineStr">
        <is>
          <t>技能类型</t>
        </is>
      </c>
      <c r="B2" s="2" t="inlineStr">
        <is>
          <t>效果</t>
        </is>
      </c>
      <c r="C2" s="2" t="inlineStr">
        <is>
          <t>乘区</t>
        </is>
      </c>
      <c r="D2" s="2" t="inlineStr">
        <is>
          <t>基础值</t>
        </is>
      </c>
      <c r="E2" s="2" t="inlineStr">
        <is>
          <t>满级值</t>
        </is>
      </c>
      <c r="F2" s="2" t="inlineStr">
        <is>
          <t>获取难度</t>
        </is>
      </c>
      <c r="G2" s="2" t="inlineStr">
        <is>
          <t>定位</t>
        </is>
      </c>
    </row>
    <row r="3">
      <c r="A3" s="3" t="inlineStr">
        <is>
          <t>攻刃(ATK)</t>
        </is>
      </c>
      <c r="B3" s="3" t="inlineStr">
        <is>
          <t>攻击力+X%</t>
        </is>
      </c>
      <c r="C3" s="3" t="inlineStr">
        <is>
          <t>普通(加算)</t>
        </is>
      </c>
      <c r="D3" s="3" t="inlineStr">
        <is>
          <t>15%</t>
        </is>
      </c>
      <c r="E3" s="3" t="inlineStr">
        <is>
          <t>30%</t>
        </is>
      </c>
      <c r="F3" s="3" t="inlineStr">
        <is>
          <t>易</t>
        </is>
      </c>
      <c r="G3" s="3" t="inlineStr">
        <is>
          <t>输出基础</t>
        </is>
      </c>
    </row>
    <row r="4">
      <c r="A4" s="3" t="inlineStr">
        <is>
          <t>必杀刃(Skill)</t>
        </is>
      </c>
      <c r="B4" s="3" t="inlineStr">
        <is>
          <t>技能伤害+X%</t>
        </is>
      </c>
      <c r="C4" s="3" t="inlineStr">
        <is>
          <t>普通(加算)</t>
        </is>
      </c>
      <c r="D4" s="3" t="inlineStr">
        <is>
          <t>20%</t>
        </is>
      </c>
      <c r="E4" s="3" t="inlineStr">
        <is>
          <t>50%</t>
        </is>
      </c>
      <c r="F4" s="3" t="inlineStr">
        <is>
          <t>中</t>
        </is>
      </c>
      <c r="G4" s="3" t="inlineStr">
        <is>
          <t>技能流核心</t>
        </is>
      </c>
    </row>
    <row r="5">
      <c r="A5" s="3" t="inlineStr">
        <is>
          <t>守护(HP)</t>
        </is>
      </c>
      <c r="B5" s="3" t="inlineStr">
        <is>
          <t>生命值+X%</t>
        </is>
      </c>
      <c r="C5" s="3" t="inlineStr">
        <is>
          <t>普通(加算)</t>
        </is>
      </c>
      <c r="D5" s="3" t="inlineStr">
        <is>
          <t>15%</t>
        </is>
      </c>
      <c r="E5" s="3" t="inlineStr">
        <is>
          <t>35%</t>
        </is>
      </c>
      <c r="F5" s="3" t="inlineStr">
        <is>
          <t>易</t>
        </is>
      </c>
      <c r="G5" s="3" t="inlineStr">
        <is>
          <t>生存</t>
        </is>
      </c>
    </row>
    <row r="6">
      <c r="A6" s="3" t="inlineStr">
        <is>
          <t>铁壁(DEF)</t>
        </is>
      </c>
      <c r="B6" s="3" t="inlineStr">
        <is>
          <t>防御力+X%</t>
        </is>
      </c>
      <c r="C6" s="3" t="inlineStr">
        <is>
          <t>普通(加算)</t>
        </is>
      </c>
      <c r="D6" s="3" t="inlineStr">
        <is>
          <t>12%</t>
        </is>
      </c>
      <c r="E6" s="3" t="inlineStr">
        <is>
          <t>25%</t>
        </is>
      </c>
      <c r="F6" s="3" t="inlineStr">
        <is>
          <t>易</t>
        </is>
      </c>
      <c r="G6" s="3" t="inlineStr">
        <is>
          <t>坦克</t>
        </is>
      </c>
    </row>
    <row r="7">
      <c r="A7" s="3" t="inlineStr">
        <is>
          <t>技巧(Crit)</t>
        </is>
      </c>
      <c r="B7" s="3" t="inlineStr">
        <is>
          <t>暴击率+X%</t>
        </is>
      </c>
      <c r="C7" s="3" t="inlineStr">
        <is>
          <t>普通(加算)</t>
        </is>
      </c>
      <c r="D7" s="3" t="inlineStr">
        <is>
          <t>8%</t>
        </is>
      </c>
      <c r="E7" s="3" t="inlineStr">
        <is>
          <t>18%</t>
        </is>
      </c>
      <c r="F7" s="3" t="inlineStr">
        <is>
          <t>中</t>
        </is>
      </c>
      <c r="G7" s="3" t="inlineStr">
        <is>
          <t>暴击流</t>
        </is>
      </c>
    </row>
    <row r="8">
      <c r="A8" s="3" t="inlineStr">
        <is>
          <t>方阵攻刃(Omega)</t>
        </is>
      </c>
      <c r="B8" s="3" t="inlineStr">
        <is>
          <t>攻击力xN倍</t>
        </is>
      </c>
      <c r="C8" s="3" t="inlineStr">
        <is>
          <t>方阵(乘算)</t>
        </is>
      </c>
      <c r="D8" s="3" t="inlineStr">
        <is>
          <t>1.5x</t>
        </is>
      </c>
      <c r="E8" s="3" t="inlineStr">
        <is>
          <t>2.5x</t>
        </is>
      </c>
      <c r="F8" s="3" t="inlineStr">
        <is>
          <t>极难</t>
        </is>
      </c>
      <c r="G8" s="3" t="inlineStr">
        <is>
          <t>核心爆发</t>
        </is>
      </c>
    </row>
    <row r="9">
      <c r="A9" s="3" t="inlineStr">
        <is>
          <t>方阵必杀(Omega)</t>
        </is>
      </c>
      <c r="B9" s="3" t="inlineStr">
        <is>
          <t>技能伤害xN倍</t>
        </is>
      </c>
      <c r="C9" s="3" t="inlineStr">
        <is>
          <t>方阵(乘算)</t>
        </is>
      </c>
      <c r="D9" s="3" t="inlineStr">
        <is>
          <t>1.8x</t>
        </is>
      </c>
      <c r="E9" s="3" t="inlineStr">
        <is>
          <t>3.0x</t>
        </is>
      </c>
      <c r="F9" s="3" t="inlineStr">
        <is>
          <t>极难</t>
        </is>
      </c>
      <c r="G9" s="3" t="inlineStr">
        <is>
          <t>技能流核心</t>
        </is>
      </c>
    </row>
    <row r="11">
      <c r="A11" s="4" t="inlineStr">
        <is>
          <t>乘区规则</t>
        </is>
      </c>
    </row>
    <row r="12">
      <c r="A12" t="inlineStr">
        <is>
          <t>普通攻刃=加算；方阵倍率=乘算；方阵x普通=爆炸伤害</t>
        </is>
      </c>
    </row>
    <row r="13">
      <c r="A13" t="inlineStr">
        <is>
          <t>公式: 攻击=基础x(1+攻刃总和)x方阵攻击倍率</t>
        </is>
      </c>
    </row>
    <row r="14">
      <c r="A14" t="inlineStr">
        <is>
          <t>公式: 技能伤害=基础技能x(1+必杀刃总和)x方阵必杀倍率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武器上限突破 (Uncap) 数值</t>
        </is>
      </c>
    </row>
    <row r="2">
      <c r="A2" s="2" t="inlineStr">
        <is>
          <t>突破星级</t>
        </is>
      </c>
      <c r="B2" s="2" t="inlineStr">
        <is>
          <t>等级上限</t>
        </is>
      </c>
      <c r="C2" s="2" t="inlineStr">
        <is>
          <t>技能效果</t>
        </is>
      </c>
      <c r="D2" s="2" t="inlineStr">
        <is>
          <t>同种武器</t>
        </is>
      </c>
      <c r="E2" s="2" t="inlineStr">
        <is>
          <t>方阵碎片</t>
        </is>
      </c>
      <c r="F2" s="2" t="inlineStr">
        <is>
          <t>特殊材料</t>
        </is>
      </c>
    </row>
    <row r="3">
      <c r="A3" s="3" t="inlineStr">
        <is>
          <t>★0</t>
        </is>
      </c>
      <c r="B3" s="3" t="inlineStr">
        <is>
          <t>Lv50</t>
        </is>
      </c>
      <c r="C3" s="3" t="inlineStr">
        <is>
          <t>100%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★1</t>
        </is>
      </c>
      <c r="B4" s="3" t="inlineStr">
        <is>
          <t>Lv75</t>
        </is>
      </c>
      <c r="C4" s="3" t="inlineStr">
        <is>
          <t>130%</t>
        </is>
      </c>
      <c r="D4" s="3" t="inlineStr">
        <is>
          <t>x1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★2</t>
        </is>
      </c>
      <c r="B5" s="3" t="inlineStr">
        <is>
          <t>Lv100</t>
        </is>
      </c>
      <c r="C5" s="3" t="inlineStr">
        <is>
          <t>160%</t>
        </is>
      </c>
      <c r="D5" s="3" t="inlineStr">
        <is>
          <t>x2</t>
        </is>
      </c>
      <c r="E5" s="3" t="inlineStr">
        <is>
          <t>x20</t>
        </is>
      </c>
      <c r="F5" s="3" t="inlineStr">
        <is>
          <t>-</t>
        </is>
      </c>
    </row>
    <row r="6">
      <c r="A6" s="3" t="inlineStr">
        <is>
          <t>★3</t>
        </is>
      </c>
      <c r="B6" s="3" t="inlineStr">
        <is>
          <t>Lv125</t>
        </is>
      </c>
      <c r="C6" s="3" t="inlineStr">
        <is>
          <t>200%</t>
        </is>
      </c>
      <c r="D6" s="3" t="inlineStr">
        <is>
          <t>x3</t>
        </is>
      </c>
      <c r="E6" s="3" t="inlineStr">
        <is>
          <t>x50</t>
        </is>
      </c>
      <c r="F6" s="3" t="inlineStr">
        <is>
          <t>-</t>
        </is>
      </c>
    </row>
    <row r="7">
      <c r="A7" s="3" t="inlineStr">
        <is>
          <t>★4</t>
        </is>
      </c>
      <c r="B7" s="3" t="inlineStr">
        <is>
          <t>Lv150</t>
        </is>
      </c>
      <c r="C7" s="3" t="inlineStr">
        <is>
          <t>250%</t>
        </is>
      </c>
      <c r="D7" s="3" t="inlineStr">
        <is>
          <t>x5</t>
        </is>
      </c>
      <c r="E7" s="3" t="inlineStr">
        <is>
          <t>x100</t>
        </is>
      </c>
      <c r="F7" s="3" t="inlineStr">
        <is>
          <t>BOSS素材</t>
        </is>
      </c>
    </row>
    <row r="8">
      <c r="A8" s="3" t="inlineStr">
        <is>
          <t>★5</t>
        </is>
      </c>
      <c r="B8" s="3" t="inlineStr">
        <is>
          <t>Lv150</t>
        </is>
      </c>
      <c r="C8" s="3" t="inlineStr">
        <is>
          <t>300%</t>
        </is>
      </c>
      <c r="D8" s="3" t="inlineStr">
        <is>
          <t>x10</t>
        </is>
      </c>
      <c r="E8" s="3" t="inlineStr">
        <is>
          <t>x200</t>
        </is>
      </c>
      <c r="F8" s="3" t="inlineStr">
        <is>
          <t>金月x10+传说素材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武器品质与获取</t>
        </is>
      </c>
    </row>
    <row r="2">
      <c r="A2" s="2" t="inlineStr">
        <is>
          <t>品质</t>
        </is>
      </c>
      <c r="B2" s="2" t="inlineStr">
        <is>
          <t>技能数</t>
        </is>
      </c>
      <c r="C2" s="2" t="inlineStr">
        <is>
          <t>技能等级</t>
        </is>
      </c>
      <c r="D2" s="2" t="inlineStr">
        <is>
          <t>获取方式</t>
        </is>
      </c>
      <c r="E2" s="2" t="inlineStr">
        <is>
          <t>定位</t>
        </is>
      </c>
    </row>
    <row r="3">
      <c r="A3" s="3" t="inlineStr">
        <is>
          <t>普通(R)</t>
        </is>
      </c>
      <c r="B3" s="3" t="inlineStr">
        <is>
          <t>1个</t>
        </is>
      </c>
      <c r="C3" s="3" t="inlineStr">
        <is>
          <t>低级</t>
        </is>
      </c>
      <c r="D3" s="3" t="inlineStr">
        <is>
          <t>普通怪掉落</t>
        </is>
      </c>
      <c r="E3" s="3" t="inlineStr">
        <is>
          <t>过渡</t>
        </is>
      </c>
    </row>
    <row r="4">
      <c r="A4" s="3" t="inlineStr">
        <is>
          <t>精良(SR)</t>
        </is>
      </c>
      <c r="B4" s="3" t="inlineStr">
        <is>
          <t>1个</t>
        </is>
      </c>
      <c r="C4" s="3" t="inlineStr">
        <is>
          <t>中级</t>
        </is>
      </c>
      <c r="D4" s="3" t="inlineStr">
        <is>
          <t>精英/副本</t>
        </is>
      </c>
      <c r="E4" s="3" t="inlineStr">
        <is>
          <t>中期</t>
        </is>
      </c>
    </row>
    <row r="5">
      <c r="A5" s="3" t="inlineStr">
        <is>
          <t>稀有(SSR)</t>
        </is>
      </c>
      <c r="B5" s="3" t="inlineStr">
        <is>
          <t>2个</t>
        </is>
      </c>
      <c r="C5" s="3" t="inlineStr">
        <is>
          <t>高级</t>
        </is>
      </c>
      <c r="D5" s="3" t="inlineStr">
        <is>
          <t>BOSS/高难</t>
        </is>
      </c>
      <c r="E5" s="3" t="inlineStr">
        <is>
          <t>核心</t>
        </is>
      </c>
    </row>
    <row r="6">
      <c r="A6" s="3" t="inlineStr">
        <is>
          <t>方阵(Omega)</t>
        </is>
      </c>
      <c r="B6" s="3" t="inlineStr">
        <is>
          <t>1个方阵</t>
        </is>
      </c>
      <c r="C6" s="3" t="inlineStr">
        <is>
          <t>方阵级</t>
        </is>
      </c>
      <c r="D6" s="3" t="inlineStr">
        <is>
          <t>高难副本farming</t>
        </is>
      </c>
      <c r="E6" s="3" t="inlineStr">
        <is>
          <t>终局核心</t>
        </is>
      </c>
    </row>
    <row r="7">
      <c r="A7" s="3" t="inlineStr">
        <is>
          <t>神话(Primal)</t>
        </is>
      </c>
      <c r="B7" s="3" t="inlineStr">
        <is>
          <t>2个方阵</t>
        </is>
      </c>
      <c r="C7" s="3" t="inlineStr">
        <is>
          <t>方阵级</t>
        </is>
      </c>
      <c r="D7" s="3" t="inlineStr">
        <is>
          <t>隐藏BOSS</t>
        </is>
      </c>
      <c r="E7" s="3" t="inlineStr">
        <is>
          <t>天花板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传奇威能 (Aspects) 数值</t>
        </is>
      </c>
    </row>
    <row r="2">
      <c r="A2" s="2" t="inlineStr">
        <is>
          <t>威能类型</t>
        </is>
      </c>
      <c r="B2" s="2" t="inlineStr">
        <is>
          <t>槽位</t>
        </is>
      </c>
      <c r="C2" s="2" t="inlineStr">
        <is>
          <t>效果示例</t>
        </is>
      </c>
      <c r="D2" s="2" t="inlineStr">
        <is>
          <t>数值</t>
        </is>
      </c>
      <c r="E2" s="2" t="inlineStr">
        <is>
          <t>数量</t>
        </is>
      </c>
      <c r="F2" s="2" t="inlineStr">
        <is>
          <t>定位</t>
        </is>
      </c>
    </row>
    <row r="3">
      <c r="A3" s="3" t="inlineStr">
        <is>
          <t>攻击威能</t>
        </is>
      </c>
      <c r="B3" s="3" t="inlineStr">
        <is>
          <t>武器/手套</t>
        </is>
      </c>
      <c r="C3" s="3" t="inlineStr">
        <is>
          <t>技能伤害+X%</t>
        </is>
      </c>
      <c r="D3" s="3" t="inlineStr">
        <is>
          <t>40%</t>
        </is>
      </c>
      <c r="E3" s="3" t="inlineStr">
        <is>
          <t>30个</t>
        </is>
      </c>
      <c r="F3" s="3" t="inlineStr">
        <is>
          <t>高价值</t>
        </is>
      </c>
    </row>
    <row r="4">
      <c r="A4" s="3" t="inlineStr">
        <is>
          <t>防御威能</t>
        </is>
      </c>
      <c r="B4" s="3" t="inlineStr">
        <is>
          <t>胸甲/护腿</t>
        </is>
      </c>
      <c r="C4" s="3" t="inlineStr">
        <is>
          <t>受伤获得护盾</t>
        </is>
      </c>
      <c r="D4" s="3" t="inlineStr">
        <is>
          <t>护盾值=15%HP</t>
        </is>
      </c>
      <c r="E4" s="3" t="inlineStr">
        <is>
          <t>20个</t>
        </is>
      </c>
      <c r="F4" s="3" t="inlineStr">
        <is>
          <t>生存</t>
        </is>
      </c>
    </row>
    <row r="5">
      <c r="A5" s="3" t="inlineStr">
        <is>
          <t>资源威能</t>
        </is>
      </c>
      <c r="B5" s="3" t="inlineStr">
        <is>
          <t>头盔/戒指</t>
        </is>
      </c>
      <c r="C5" s="3" t="inlineStr">
        <is>
          <t>击杀回能+X%</t>
        </is>
      </c>
      <c r="D5" s="3" t="inlineStr">
        <is>
          <t>30%</t>
        </is>
      </c>
      <c r="E5" s="3" t="inlineStr">
        <is>
          <t>15个</t>
        </is>
      </c>
      <c r="F5" s="3" t="inlineStr">
        <is>
          <t>续航</t>
        </is>
      </c>
    </row>
    <row r="6">
      <c r="A6" s="3" t="inlineStr">
        <is>
          <t>机动威能</t>
        </is>
      </c>
      <c r="B6" s="3" t="inlineStr">
        <is>
          <t>鞋子</t>
        </is>
      </c>
      <c r="C6" s="3" t="inlineStr">
        <is>
          <t>位移CD-X%</t>
        </is>
      </c>
      <c r="D6" s="3" t="inlineStr">
        <is>
          <t>50%</t>
        </is>
      </c>
      <c r="E6" s="3" t="inlineStr">
        <is>
          <t>10个</t>
        </is>
      </c>
      <c r="F6" s="3" t="inlineStr">
        <is>
          <t>手感</t>
        </is>
      </c>
    </row>
    <row r="7">
      <c r="A7" s="3" t="inlineStr">
        <is>
          <t>效用威能</t>
        </is>
      </c>
      <c r="B7" s="3" t="inlineStr">
        <is>
          <t>护身符</t>
        </is>
      </c>
      <c r="C7" s="3" t="inlineStr">
        <is>
          <t>掉落率+X%</t>
        </is>
      </c>
      <c r="D7" s="3" t="inlineStr">
        <is>
          <t>25%</t>
        </is>
      </c>
      <c r="E7" s="3" t="inlineStr">
        <is>
          <t>15个</t>
        </is>
      </c>
      <c r="F7" s="3" t="inlineStr">
        <is>
          <t>Farming</t>
        </is>
      </c>
    </row>
    <row r="8">
      <c r="A8" s="3" t="inlineStr">
        <is>
          <t>专属威能</t>
        </is>
      </c>
      <c r="B8" s="3" t="inlineStr">
        <is>
          <t>特定槽</t>
        </is>
      </c>
      <c r="C8" s="3" t="inlineStr">
        <is>
          <t>改变技能机制</t>
        </is>
      </c>
      <c r="D8" s="3" t="inlineStr">
        <is>
          <t>机制级</t>
        </is>
      </c>
      <c r="E8" s="3" t="inlineStr">
        <is>
          <t>30个</t>
        </is>
      </c>
      <c r="F8" s="3" t="inlineStr">
        <is>
          <t>Build核心</t>
        </is>
      </c>
    </row>
    <row r="10">
      <c r="A10" s="4" t="inlineStr">
        <is>
          <t>威能法典收集奖励</t>
        </is>
      </c>
    </row>
    <row r="11">
      <c r="A11" s="3" t="inlineStr">
        <is>
          <t>收集30个</t>
        </is>
      </c>
      <c r="B11" s="3" t="inlineStr">
        <is>
          <t>全威能效果+5%</t>
        </is>
      </c>
    </row>
    <row r="12">
      <c r="A12" s="3" t="inlineStr">
        <is>
          <t>收集60个</t>
        </is>
      </c>
      <c r="B12" s="3" t="inlineStr">
        <is>
          <t>全威能效果+10%</t>
        </is>
      </c>
    </row>
    <row r="13">
      <c r="A13" s="3" t="inlineStr">
        <is>
          <t>收集90个</t>
        </is>
      </c>
      <c r="B13" s="3" t="inlineStr">
        <is>
          <t>全威能效果+15%</t>
        </is>
      </c>
    </row>
    <row r="14">
      <c r="A14" s="3" t="inlineStr">
        <is>
          <t>收集120个</t>
        </is>
      </c>
      <c r="B14" s="3" t="inlineStr">
        <is>
          <t>全威能效果+20%+称号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12" customWidth="1" min="5" max="5"/>
  </cols>
  <sheetData>
    <row r="1">
      <c r="A1" s="1" t="inlineStr">
        <is>
          <t>三系专精与天赋节点数值</t>
        </is>
      </c>
    </row>
    <row r="2">
      <c r="A2" s="2" t="inlineStr">
        <is>
          <t>专精</t>
        </is>
      </c>
      <c r="B2" s="2" t="inlineStr">
        <is>
          <t>定位</t>
        </is>
      </c>
      <c r="C2" s="2" t="inlineStr">
        <is>
          <t>关键天赋(Capstone)</t>
        </is>
      </c>
      <c r="D2" s="2" t="inlineStr">
        <is>
          <t>每点属性</t>
        </is>
      </c>
      <c r="E2" s="2" t="inlineStr">
        <is>
          <t>节点数</t>
        </is>
      </c>
    </row>
    <row r="3">
      <c r="A3" s="3" t="inlineStr">
        <is>
          <t>战士系</t>
        </is>
      </c>
      <c r="B3" s="3" t="inlineStr">
        <is>
          <t>近战/生存</t>
        </is>
      </c>
      <c r="C3" s="3" t="inlineStr">
        <is>
          <t>斩杀(对低血+100%伤害)</t>
        </is>
      </c>
      <c r="D3" s="3" t="inlineStr">
        <is>
          <t>+2%小节点/+8%大节点</t>
        </is>
      </c>
      <c r="E3" s="3" t="inlineStr">
        <is>
          <t>30节点</t>
        </is>
      </c>
    </row>
    <row r="4">
      <c r="A4" s="3" t="inlineStr">
        <is>
          <t>法师系</t>
        </is>
      </c>
      <c r="B4" s="3" t="inlineStr">
        <is>
          <t>技能/爆发</t>
        </is>
      </c>
      <c r="C4" s="3" t="inlineStr">
        <is>
          <t>奥术强化(技能伤害+50%)</t>
        </is>
      </c>
      <c r="D4" s="3" t="inlineStr">
        <is>
          <t>+2%小节点/+8%大节点</t>
        </is>
      </c>
      <c r="E4" s="3" t="inlineStr">
        <is>
          <t>30节点</t>
        </is>
      </c>
    </row>
    <row r="5">
      <c r="A5" s="3" t="inlineStr">
        <is>
          <t>游侠系</t>
        </is>
      </c>
      <c r="B5" s="3" t="inlineStr">
        <is>
          <t>暴击/机动</t>
        </is>
      </c>
      <c r="C5" s="3" t="inlineStr">
        <is>
          <t>致命(暴击伤害+80%)</t>
        </is>
      </c>
      <c r="D5" s="3" t="inlineStr">
        <is>
          <t>+2%小节点/+8%大节点</t>
        </is>
      </c>
      <c r="E5" s="3" t="inlineStr">
        <is>
          <t>30节点</t>
        </is>
      </c>
    </row>
    <row r="7">
      <c r="A7" s="4" t="inlineStr">
        <is>
          <t>巅峰盘(Paragon) 50级后</t>
        </is>
      </c>
    </row>
    <row r="8">
      <c r="A8" s="3" t="inlineStr">
        <is>
          <t>普通节点</t>
        </is>
      </c>
      <c r="B8" s="3" t="inlineStr">
        <is>
          <t>+1%属性</t>
        </is>
      </c>
    </row>
    <row r="9">
      <c r="A9" s="3" t="inlineStr">
        <is>
          <t>魔法节点</t>
        </is>
      </c>
      <c r="B9" s="3" t="inlineStr">
        <is>
          <t>+5%属性</t>
        </is>
      </c>
    </row>
    <row r="10">
      <c r="A10" s="3" t="inlineStr">
        <is>
          <t>稀有节点</t>
        </is>
      </c>
      <c r="B10" s="3" t="inlineStr">
        <is>
          <t>+15%属性或特殊</t>
        </is>
      </c>
    </row>
    <row r="11">
      <c r="A11" s="3" t="inlineStr">
        <is>
          <t>雕文插槽</t>
        </is>
      </c>
      <c r="B11" s="3" t="inlineStr">
        <is>
          <t>范围内节点+X%</t>
        </is>
      </c>
    </row>
    <row r="12">
      <c r="A12" s="3" t="inlineStr">
        <is>
          <t>雕文满级</t>
        </is>
      </c>
      <c r="B12" s="3" t="inlineStr">
        <is>
          <t>Lv21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召唤石加护与突破</t>
        </is>
      </c>
    </row>
    <row r="2">
      <c r="A2" s="2" t="inlineStr">
        <is>
          <t>加护类型</t>
        </is>
      </c>
      <c r="B2" s="2" t="inlineStr">
        <is>
          <t>主召唤效果</t>
        </is>
      </c>
      <c r="C2" s="2" t="inlineStr">
        <is>
          <t>友召效果</t>
        </is>
      </c>
      <c r="D2" s="2" t="inlineStr">
        <is>
          <t>满级</t>
        </is>
      </c>
      <c r="E2" s="2" t="inlineStr">
        <is>
          <t>获取</t>
        </is>
      </c>
    </row>
    <row r="3">
      <c r="A3" s="3" t="inlineStr">
        <is>
          <t>攻击加护</t>
        </is>
      </c>
      <c r="B3" s="3" t="inlineStr">
        <is>
          <t>全队攻击+80%</t>
        </is>
      </c>
      <c r="C3" s="3" t="inlineStr">
        <is>
          <t>全队攻击+40%</t>
        </is>
      </c>
      <c r="D3" s="3" t="inlineStr">
        <is>
          <t>Lv200 ★5</t>
        </is>
      </c>
      <c r="E3" s="3" t="inlineStr">
        <is>
          <t>高难/金月</t>
        </is>
      </c>
    </row>
    <row r="4">
      <c r="A4" s="3" t="inlineStr">
        <is>
          <t>属性加护</t>
        </is>
      </c>
      <c r="B4" s="3" t="inlineStr">
        <is>
          <t>特定属性伤害+60%</t>
        </is>
      </c>
      <c r="C4" s="3" t="inlineStr">
        <is>
          <t>特定属性+30%</t>
        </is>
      </c>
      <c r="D4" s="3" t="inlineStr">
        <is>
          <t>Lv200 ★5</t>
        </is>
      </c>
      <c r="E4" s="3" t="inlineStr">
        <is>
          <t>高难</t>
        </is>
      </c>
    </row>
    <row r="5">
      <c r="A5" s="3" t="inlineStr">
        <is>
          <t>生存加护</t>
        </is>
      </c>
      <c r="B5" s="3" t="inlineStr">
        <is>
          <t>生命/防御+50%</t>
        </is>
      </c>
      <c r="C5" s="3" t="inlineStr">
        <is>
          <t>生命/防御+25%</t>
        </is>
      </c>
      <c r="D5" s="3" t="inlineStr">
        <is>
          <t>Lv200 ★5</t>
        </is>
      </c>
      <c r="E5" s="3" t="inlineStr">
        <is>
          <t>副本</t>
        </is>
      </c>
    </row>
    <row r="6">
      <c r="A6" s="3" t="inlineStr">
        <is>
          <t>技能加护</t>
        </is>
      </c>
      <c r="B6" s="3" t="inlineStr">
        <is>
          <t>技能伤害+40%</t>
        </is>
      </c>
      <c r="C6" s="3" t="inlineStr">
        <is>
          <t>技能伤害+20%</t>
        </is>
      </c>
      <c r="D6" s="3" t="inlineStr">
        <is>
          <t>Lv200 ★5</t>
        </is>
      </c>
      <c r="E6" s="3" t="inlineStr">
        <is>
          <t>高难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8" customWidth="1" min="4" max="4"/>
  </cols>
  <sheetData>
    <row r="1">
      <c r="A1" s="1" t="inlineStr">
        <is>
          <t>势力声望等级与奖励</t>
        </is>
      </c>
    </row>
    <row r="2">
      <c r="A2" s="2" t="inlineStr">
        <is>
          <t>声望等级</t>
        </is>
      </c>
      <c r="B2" s="2" t="inlineStr">
        <is>
          <t>进度</t>
        </is>
      </c>
      <c r="C2" s="2" t="inlineStr">
        <is>
          <t>奖励</t>
        </is>
      </c>
      <c r="D2" s="2" t="inlineStr">
        <is>
          <t>解锁内容</t>
        </is>
      </c>
    </row>
    <row r="3">
      <c r="A3" s="3" t="inlineStr">
        <is>
          <t>中立</t>
        </is>
      </c>
      <c r="B3" s="3" t="inlineStr">
        <is>
          <t>0-3000</t>
        </is>
      </c>
      <c r="C3" s="3" t="inlineStr">
        <is>
          <t>-</t>
        </is>
      </c>
      <c r="D3" s="3" t="inlineStr">
        <is>
          <t>起始</t>
        </is>
      </c>
    </row>
    <row r="4">
      <c r="A4" s="3" t="inlineStr">
        <is>
          <t>友善</t>
        </is>
      </c>
      <c r="B4" s="3" t="inlineStr">
        <is>
          <t>3000-6000</t>
        </is>
      </c>
      <c r="C4" s="3" t="inlineStr">
        <is>
          <t>区域商店开放</t>
        </is>
      </c>
      <c r="D4" s="3" t="inlineStr">
        <is>
          <t>买图纸/材料</t>
        </is>
      </c>
    </row>
    <row r="5">
      <c r="A5" s="3" t="inlineStr">
        <is>
          <t>尊敬</t>
        </is>
      </c>
      <c r="B5" s="3" t="inlineStr">
        <is>
          <t>6000-9000</t>
        </is>
      </c>
      <c r="C5" s="3" t="inlineStr">
        <is>
          <t>声望装备(紫色)</t>
        </is>
      </c>
      <c r="D5" s="3" t="inlineStr">
        <is>
          <t>紫装</t>
        </is>
      </c>
    </row>
    <row r="6">
      <c r="A6" s="3" t="inlineStr">
        <is>
          <t>崇敬</t>
        </is>
      </c>
      <c r="B6" s="3" t="inlineStr">
        <is>
          <t>9000-12000</t>
        </is>
      </c>
      <c r="C6" s="3" t="inlineStr">
        <is>
          <t>专业配方+坐骑</t>
        </is>
      </c>
      <c r="D6" s="3" t="inlineStr">
        <is>
          <t>配方</t>
        </is>
      </c>
    </row>
    <row r="7">
      <c r="A7" s="3" t="inlineStr">
        <is>
          <t>崇拜</t>
        </is>
      </c>
      <c r="B7" s="3" t="inlineStr">
        <is>
          <t>12000</t>
        </is>
      </c>
      <c r="C7" s="3" t="inlineStr">
        <is>
          <t>传说图纸+特殊称号</t>
        </is>
      </c>
      <c r="D7" s="3" t="inlineStr">
        <is>
          <t>传说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角色上限突破(Uncap)与觉醒</t>
        </is>
      </c>
    </row>
    <row r="2">
      <c r="A2" s="2" t="inlineStr">
        <is>
          <t>突破星级</t>
        </is>
      </c>
      <c r="B2" s="2" t="inlineStr">
        <is>
          <t>等级上限</t>
        </is>
      </c>
      <c r="C2" s="2" t="inlineStr">
        <is>
          <t>属性提升</t>
        </is>
      </c>
      <c r="D2" s="2" t="inlineStr">
        <is>
          <t>碎片消耗</t>
        </is>
      </c>
      <c r="E2" s="2" t="inlineStr">
        <is>
          <t>特殊材料</t>
        </is>
      </c>
    </row>
    <row r="3">
      <c r="A3" s="3" t="inlineStr">
        <is>
          <t>★1</t>
        </is>
      </c>
      <c r="B3" s="3" t="inlineStr">
        <is>
          <t>+10</t>
        </is>
      </c>
      <c r="C3" s="3" t="inlineStr">
        <is>
          <t>+15%</t>
        </is>
      </c>
      <c r="D3" s="3" t="inlineStr">
        <is>
          <t>碎片x20</t>
        </is>
      </c>
      <c r="E3" s="3" t="inlineStr">
        <is>
          <t>-</t>
        </is>
      </c>
    </row>
    <row r="4">
      <c r="A4" s="3" t="inlineStr">
        <is>
          <t>★2</t>
        </is>
      </c>
      <c r="B4" s="3" t="inlineStr">
        <is>
          <t>+10</t>
        </is>
      </c>
      <c r="C4" s="3" t="inlineStr">
        <is>
          <t>+15%</t>
        </is>
      </c>
      <c r="D4" s="3" t="inlineStr">
        <is>
          <t>碎片x50</t>
        </is>
      </c>
      <c r="E4" s="3" t="inlineStr">
        <is>
          <t>区域素材</t>
        </is>
      </c>
    </row>
    <row r="5">
      <c r="A5" s="3" t="inlineStr">
        <is>
          <t>★3</t>
        </is>
      </c>
      <c r="B5" s="3" t="inlineStr">
        <is>
          <t>+10</t>
        </is>
      </c>
      <c r="C5" s="3" t="inlineStr">
        <is>
          <t>+15%</t>
        </is>
      </c>
      <c r="D5" s="3" t="inlineStr">
        <is>
          <t>碎片x100</t>
        </is>
      </c>
      <c r="E5" s="3" t="inlineStr">
        <is>
          <t>BOSS素材</t>
        </is>
      </c>
    </row>
    <row r="6">
      <c r="A6" s="3" t="inlineStr">
        <is>
          <t>★4</t>
        </is>
      </c>
      <c r="B6" s="3" t="inlineStr">
        <is>
          <t>+10</t>
        </is>
      </c>
      <c r="C6" s="3" t="inlineStr">
        <is>
          <t>+15%</t>
        </is>
      </c>
      <c r="D6" s="3" t="inlineStr">
        <is>
          <t>碎片x200</t>
        </is>
      </c>
      <c r="E6" s="3" t="inlineStr">
        <is>
          <t>高难素材</t>
        </is>
      </c>
    </row>
    <row r="7">
      <c r="A7" s="3" t="inlineStr">
        <is>
          <t>★5</t>
        </is>
      </c>
      <c r="B7" s="3" t="inlineStr">
        <is>
          <t>+10</t>
        </is>
      </c>
      <c r="C7" s="3" t="inlineStr">
        <is>
          <t>+15%</t>
        </is>
      </c>
      <c r="D7" s="3" t="inlineStr">
        <is>
          <t>金月x20</t>
        </is>
      </c>
      <c r="E7" s="3" t="inlineStr">
        <is>
          <t>传说素材</t>
        </is>
      </c>
    </row>
    <row r="9">
      <c r="A9" s="4" t="inlineStr">
        <is>
          <t>觉醒等级 Lv1-10</t>
        </is>
      </c>
    </row>
    <row r="10">
      <c r="A10" t="inlineStr">
        <is>
          <t>每级: 全属性+3%，解锁觉醒技能(每层3选1)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s="1" t="inlineStr">
        <is>
          <t>高难副本掉落表 (武器盘核心来源)</t>
        </is>
      </c>
    </row>
    <row r="2">
      <c r="A2" s="2" t="inlineStr">
        <is>
          <t>副本BOSS</t>
        </is>
      </c>
      <c r="B2" s="2" t="inlineStr">
        <is>
          <t>等级</t>
        </is>
      </c>
      <c r="C2" s="2" t="inlineStr">
        <is>
          <t>掉落武器</t>
        </is>
      </c>
      <c r="D2" s="2" t="inlineStr">
        <is>
          <t>武器技能</t>
        </is>
      </c>
      <c r="E2" s="2" t="inlineStr">
        <is>
          <t>每日次数</t>
        </is>
      </c>
    </row>
    <row r="3">
      <c r="A3" s="3" t="inlineStr">
        <is>
          <t>原野之主</t>
        </is>
      </c>
      <c r="B3" s="3" t="inlineStr">
        <is>
          <t>Lv20+</t>
        </is>
      </c>
      <c r="C3" s="3" t="inlineStr">
        <is>
          <t>方阵攻刃武器</t>
        </is>
      </c>
      <c r="D3" s="3" t="inlineStr">
        <is>
          <t>攻刃x1.5-2.5</t>
        </is>
      </c>
      <c r="E3" s="3" t="inlineStr">
        <is>
          <t>3次</t>
        </is>
      </c>
    </row>
    <row r="4">
      <c r="A4" s="3" t="inlineStr">
        <is>
          <t>林地守卫</t>
        </is>
      </c>
      <c r="B4" s="3" t="inlineStr">
        <is>
          <t>Lv30+</t>
        </is>
      </c>
      <c r="C4" s="3" t="inlineStr">
        <is>
          <t>方阵必杀武器</t>
        </is>
      </c>
      <c r="D4" s="3" t="inlineStr">
        <is>
          <t>必杀x1.8-3.0</t>
        </is>
      </c>
      <c r="E4" s="3" t="inlineStr">
        <is>
          <t>3次</t>
        </is>
      </c>
    </row>
    <row r="5">
      <c r="A5" s="3" t="inlineStr">
        <is>
          <t>裂谷暴君</t>
        </is>
      </c>
      <c r="B5" s="3" t="inlineStr">
        <is>
          <t>Lv40+</t>
        </is>
      </c>
      <c r="C5" s="3" t="inlineStr">
        <is>
          <t>方阵攻刃武器</t>
        </is>
      </c>
      <c r="D5" s="3" t="inlineStr">
        <is>
          <t>攻刃x2.0-2.5</t>
        </is>
      </c>
      <c r="E5" s="3" t="inlineStr">
        <is>
          <t>3次</t>
        </is>
      </c>
    </row>
    <row r="6">
      <c r="A6" s="3" t="inlineStr">
        <is>
          <t>冰霜女王</t>
        </is>
      </c>
      <c r="B6" s="3" t="inlineStr">
        <is>
          <t>Lv50</t>
        </is>
      </c>
      <c r="C6" s="3" t="inlineStr">
        <is>
          <t>方阵必杀武器(核心)</t>
        </is>
      </c>
      <c r="D6" s="3" t="inlineStr">
        <is>
          <t>必杀x3.0</t>
        </is>
      </c>
      <c r="E6" s="3" t="inlineStr">
        <is>
          <t>3次</t>
        </is>
      </c>
    </row>
    <row r="7">
      <c r="A7" s="3" t="inlineStr">
        <is>
          <t>深渊之主</t>
        </is>
      </c>
      <c r="B7" s="3" t="inlineStr">
        <is>
          <t>Lv50</t>
        </is>
      </c>
      <c r="C7" s="3" t="inlineStr">
        <is>
          <t>神话武器素材</t>
        </is>
      </c>
      <c r="D7" s="3" t="inlineStr">
        <is>
          <t>素材</t>
        </is>
      </c>
      <c r="E7" s="3" t="inlineStr">
        <is>
          <t>2次</t>
        </is>
      </c>
    </row>
    <row r="8">
      <c r="A8" s="3" t="inlineStr">
        <is>
          <t>远古龙王</t>
        </is>
      </c>
      <c r="B8" s="3" t="inlineStr">
        <is>
          <t>Lv50</t>
        </is>
      </c>
      <c r="C8" s="3" t="inlineStr">
        <is>
          <t>神话武器(天花板)</t>
        </is>
      </c>
      <c r="D8" s="3" t="inlineStr">
        <is>
          <t>方阵x2</t>
        </is>
      </c>
      <c r="E8" s="3" t="inlineStr">
        <is>
          <t>1次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>
      <c r="A1" s="1" t="inlineStr">
        <is>
          <t>终局满配乘区叠加计算 (自动公式)</t>
        </is>
      </c>
    </row>
    <row r="3">
      <c r="A3" s="2" t="inlineStr">
        <is>
          <t>乘区项</t>
        </is>
      </c>
      <c r="B3" s="2" t="inlineStr">
        <is>
          <t>数值</t>
        </is>
      </c>
      <c r="C3" s="2" t="inlineStr">
        <is>
          <t>说明</t>
        </is>
      </c>
    </row>
    <row r="4">
      <c r="A4" s="3" t="inlineStr">
        <is>
          <t>普通攻刃加算总和</t>
        </is>
      </c>
      <c r="B4" s="5" t="n">
        <v>3</v>
      </c>
      <c r="C4" s="3" t="inlineStr">
        <is>
          <t>8把x25% = 300%</t>
        </is>
      </c>
    </row>
    <row r="5">
      <c r="A5" s="3" t="inlineStr">
        <is>
          <t>方阵攻击倍率</t>
        </is>
      </c>
      <c r="B5" s="5" t="n">
        <v>32</v>
      </c>
      <c r="C5" s="3" t="inlineStr">
        <is>
          <t>5把方阵x2.0 (示例)</t>
        </is>
      </c>
    </row>
    <row r="6">
      <c r="A6" s="3" t="inlineStr">
        <is>
          <t>召唤石攻击光环</t>
        </is>
      </c>
      <c r="B6" s="5" t="n">
        <v>0.8</v>
      </c>
      <c r="C6" s="3" t="inlineStr">
        <is>
          <t>★5路西法 +80%</t>
        </is>
      </c>
    </row>
    <row r="7">
      <c r="A7" s="3" t="inlineStr">
        <is>
          <t>天赋攻击加成</t>
        </is>
      </c>
      <c r="B7" s="5" t="n">
        <v>0.6</v>
      </c>
      <c r="C7" s="3" t="inlineStr">
        <is>
          <t>满天赋 +60%</t>
        </is>
      </c>
    </row>
    <row r="8">
      <c r="A8" s="3" t="inlineStr">
        <is>
          <t>觉醒加成</t>
        </is>
      </c>
      <c r="B8" s="5" t="n">
        <v>0.3</v>
      </c>
      <c r="C8" s="3" t="inlineStr">
        <is>
          <t>觉醒Lv10 +30%</t>
        </is>
      </c>
    </row>
    <row r="9">
      <c r="A9" s="3" t="inlineStr">
        <is>
          <t>必杀刃加算总和</t>
        </is>
      </c>
      <c r="B9" s="5" t="n">
        <v>2</v>
      </c>
      <c r="C9" s="3" t="inlineStr">
        <is>
          <t>4把x50% = 200%</t>
        </is>
      </c>
    </row>
    <row r="10">
      <c r="A10" s="3" t="inlineStr">
        <is>
          <t>方阵技能倍率</t>
        </is>
      </c>
      <c r="B10" s="5" t="n">
        <v>27</v>
      </c>
      <c r="C10" s="3" t="inlineStr">
        <is>
          <t>3把方阵x3.0</t>
        </is>
      </c>
    </row>
    <row r="11">
      <c r="A11" s="3" t="inlineStr">
        <is>
          <t>威能技能伤害</t>
        </is>
      </c>
      <c r="B11" s="5" t="n">
        <v>0.4</v>
      </c>
      <c r="C11" s="3" t="inlineStr">
        <is>
          <t>攻击威能+40%</t>
        </is>
      </c>
    </row>
    <row r="13">
      <c r="A13" s="4" t="inlineStr">
        <is>
          <t>攻击面总倍率</t>
        </is>
      </c>
      <c r="B13">
        <f>(1+B4)*B5*(1+B6)*(1+B7)*(1+B8)</f>
        <v/>
      </c>
      <c r="C13">
        <f>(1+攻刃)x方阵x(1+召唤)x(1+天赋)x(1+觉醒)</f>
        <v/>
      </c>
    </row>
    <row r="14">
      <c r="A14" s="4" t="inlineStr">
        <is>
          <t>技能面总倍率</t>
        </is>
      </c>
      <c r="B14">
        <f>(1+B9)*B10*(1+B11)</f>
        <v/>
      </c>
      <c r="C14">
        <f>(1+必杀刃)x方阵技能x(1+威能)</f>
        <v/>
      </c>
    </row>
    <row r="15">
      <c r="A15" s="6" t="inlineStr">
        <is>
          <t>理论总伤害倍率</t>
        </is>
      </c>
      <c r="B15" s="6">
        <f>B13*B14</f>
        <v/>
      </c>
      <c r="C15" t="inlineStr">
        <is>
          <t>攻击面 x 技能面</t>
        </is>
      </c>
    </row>
    <row r="17">
      <c r="A17" s="4" t="inlineStr">
        <is>
          <t>对比: 裸装倍率</t>
        </is>
      </c>
      <c r="B17" t="n">
        <v>1</v>
      </c>
    </row>
    <row r="18">
      <c r="A18" s="4" t="inlineStr">
        <is>
          <t>对比: 普通满配(无方阵)</t>
        </is>
      </c>
      <c r="B18">
        <f>(1+B4)*(1+B9)</f>
        <v/>
      </c>
      <c r="C18" t="inlineStr">
        <is>
          <t>仅加算，无方阵乘算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2026-09-30T18:02:57Z</dcterms:created>
  <dcterms:modified xsi:type="dcterms:W3CDTF">2026-09-30T18:02:57Z</dcterms:modified>
</cp:coreProperties>
</file>